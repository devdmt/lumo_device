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13_ncr:1_{EA7A2591-4461-8F4B-8E37-F8B00D0FD60B}" xr6:coauthVersionLast="47" xr6:coauthVersionMax="47" xr10:uidLastSave="{00000000-0000-0000-0000-000000000000}"/>
  <bookViews>
    <workbookView xWindow="0" yWindow="680" windowWidth="29400" windowHeight="17440" xr2:uid="{00000000-000D-0000-FFFF-FFFF00000000}"/>
  </bookViews>
  <sheets>
    <sheet name="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" i="1"/>
</calcChain>
</file>

<file path=xl/sharedStrings.xml><?xml version="1.0" encoding="utf-8"?>
<sst xmlns="http://schemas.openxmlformats.org/spreadsheetml/2006/main" count="213" uniqueCount="174">
  <si>
    <t>PhoneNumber</t>
  </si>
  <si>
    <t>CustomerName</t>
  </si>
  <si>
    <t>SecondaryContactName</t>
  </si>
  <si>
    <t>SecondaryContact</t>
  </si>
  <si>
    <t>IdNumber</t>
  </si>
  <si>
    <t>DateOfBirth</t>
  </si>
  <si>
    <t>PhoneModel</t>
  </si>
  <si>
    <t>ImeiNumber</t>
  </si>
  <si>
    <t>SerialNumber</t>
  </si>
  <si>
    <t>PhoneCost</t>
  </si>
  <si>
    <t>MpesaRef</t>
  </si>
  <si>
    <t>ModeOfPurchase</t>
  </si>
  <si>
    <t>LoanRefNumber</t>
  </si>
  <si>
    <t>RepaymentTerms</t>
  </si>
  <si>
    <t>LoanAmount</t>
  </si>
  <si>
    <t>InterestRate</t>
  </si>
  <si>
    <t>PremiumPaid</t>
  </si>
  <si>
    <t>0773215633</t>
  </si>
  <si>
    <t>+254799473662</t>
  </si>
  <si>
    <t>+254768325807</t>
  </si>
  <si>
    <t>+254762253764</t>
  </si>
  <si>
    <t>0794617688</t>
  </si>
  <si>
    <t>+254772744156</t>
  </si>
  <si>
    <t>+254771435983</t>
  </si>
  <si>
    <t>+254711991102</t>
  </si>
  <si>
    <t>0739480006</t>
  </si>
  <si>
    <t>+254794340867</t>
  </si>
  <si>
    <t>+254755313323</t>
  </si>
  <si>
    <t>+254717984795</t>
  </si>
  <si>
    <t>+254741697817</t>
  </si>
  <si>
    <t>0762437653</t>
  </si>
  <si>
    <t>0759319736</t>
  </si>
  <si>
    <t>+254785448108</t>
  </si>
  <si>
    <t>0719827888</t>
  </si>
  <si>
    <t>+254715815077</t>
  </si>
  <si>
    <t>0799581462</t>
  </si>
  <si>
    <t>0791153814</t>
  </si>
  <si>
    <t>Cynthia Mutiso</t>
  </si>
  <si>
    <t>Esther Koech</t>
  </si>
  <si>
    <t>Leo Wanjiru</t>
  </si>
  <si>
    <t>Leo Abdi</t>
  </si>
  <si>
    <t>Amina Mutiso</t>
  </si>
  <si>
    <t>Ruth Abdi</t>
  </si>
  <si>
    <t>Brian Kamau</t>
  </si>
  <si>
    <t>Amina Kamau</t>
  </si>
  <si>
    <t>Daniel Achieng</t>
  </si>
  <si>
    <t>Daniel Kiplagat</t>
  </si>
  <si>
    <t>Joseph Barasa</t>
  </si>
  <si>
    <t>Ivy Kiplagat</t>
  </si>
  <si>
    <t>Mary Muthoni</t>
  </si>
  <si>
    <t>Cynthia Kamau</t>
  </si>
  <si>
    <t>Olivia Okoth</t>
  </si>
  <si>
    <t>Felix Njoroge</t>
  </si>
  <si>
    <t>Joseph Hassan</t>
  </si>
  <si>
    <t>Hassan Kiplagat</t>
  </si>
  <si>
    <t>Samuel Otieno</t>
  </si>
  <si>
    <t>Grace Kiplagat</t>
  </si>
  <si>
    <t>Brian Hassan</t>
  </si>
  <si>
    <t>Peter Njoroge</t>
  </si>
  <si>
    <t>Felix Ali</t>
  </si>
  <si>
    <t>Amina Cherono</t>
  </si>
  <si>
    <t>Amina Hassan</t>
  </si>
  <si>
    <t>Khadija Wanjiru</t>
  </si>
  <si>
    <t>Khadija Cherono</t>
  </si>
  <si>
    <t>Ivy Mwangi</t>
  </si>
  <si>
    <t>Daniel Hassan</t>
  </si>
  <si>
    <t>Khadija Kiplagat</t>
  </si>
  <si>
    <t>+254771915563</t>
  </si>
  <si>
    <t>0713898703</t>
  </si>
  <si>
    <t>+254761748035</t>
  </si>
  <si>
    <t>0724990005</t>
  </si>
  <si>
    <t>0715536081</t>
  </si>
  <si>
    <t>0770292098</t>
  </si>
  <si>
    <t>0754761868</t>
  </si>
  <si>
    <t>+254721126133</t>
  </si>
  <si>
    <t>+254781144612</t>
  </si>
  <si>
    <t>0745015458</t>
  </si>
  <si>
    <t>0717743741</t>
  </si>
  <si>
    <t>+254771993677</t>
  </si>
  <si>
    <t>438265796</t>
  </si>
  <si>
    <t>36499123</t>
  </si>
  <si>
    <t>481636658</t>
  </si>
  <si>
    <t>076294383</t>
  </si>
  <si>
    <t>572717923</t>
  </si>
  <si>
    <t>72480075</t>
  </si>
  <si>
    <t>59100351</t>
  </si>
  <si>
    <t>750684998</t>
  </si>
  <si>
    <t>37905900</t>
  </si>
  <si>
    <t>50524848</t>
  </si>
  <si>
    <t>85812506</t>
  </si>
  <si>
    <t>42453007</t>
  </si>
  <si>
    <t>123430116</t>
  </si>
  <si>
    <t>78503112</t>
  </si>
  <si>
    <t>91417826</t>
  </si>
  <si>
    <t>199889998</t>
  </si>
  <si>
    <t>78512361</t>
  </si>
  <si>
    <t>317629692</t>
  </si>
  <si>
    <t>364345396</t>
  </si>
  <si>
    <t>03873643</t>
  </si>
  <si>
    <t>988570607121270</t>
  </si>
  <si>
    <t>924044245054277</t>
  </si>
  <si>
    <t>572676175122604</t>
  </si>
  <si>
    <t>712024333262889</t>
  </si>
  <si>
    <t>987752458193710</t>
  </si>
  <si>
    <t>249820852834219</t>
  </si>
  <si>
    <t>836794861298646</t>
  </si>
  <si>
    <t>052211155447105</t>
  </si>
  <si>
    <t>889589705093710</t>
  </si>
  <si>
    <t>364012210586349</t>
  </si>
  <si>
    <t>972113066129717</t>
  </si>
  <si>
    <t>581032152025775</t>
  </si>
  <si>
    <t>986758306466343</t>
  </si>
  <si>
    <t>650264768731029</t>
  </si>
  <si>
    <t>865105337769980</t>
  </si>
  <si>
    <t>981583662980007</t>
  </si>
  <si>
    <t>489019199123636</t>
  </si>
  <si>
    <t>529371349920439</t>
  </si>
  <si>
    <t>785000797950961</t>
  </si>
  <si>
    <t>N97U2708AY00</t>
  </si>
  <si>
    <t>W9N1QKE4CCR4</t>
  </si>
  <si>
    <t>MRK3BKZXOHET</t>
  </si>
  <si>
    <t>GKQ50T1Z5MTZ</t>
  </si>
  <si>
    <t>37D8EXWFXJD6</t>
  </si>
  <si>
    <t>RTJIL39WDL9J</t>
  </si>
  <si>
    <t>0GHVKG4J35PW</t>
  </si>
  <si>
    <t>W5GCNH1FRPVX</t>
  </si>
  <si>
    <t>4U8X8C5ZHFJ6</t>
  </si>
  <si>
    <t>XLI7HKH415S5</t>
  </si>
  <si>
    <t>TFXXQD620U8B</t>
  </si>
  <si>
    <t>SLRP4533PI3I</t>
  </si>
  <si>
    <t>W1NQRJ0CP4KE</t>
  </si>
  <si>
    <t>F3FXT8F4E2YK</t>
  </si>
  <si>
    <t>HQM5JYV3XEC2</t>
  </si>
  <si>
    <t>80IICVZ1N6TZ</t>
  </si>
  <si>
    <t>GZSJB0489CK9</t>
  </si>
  <si>
    <t>GR4GUZJSJKXZ</t>
  </si>
  <si>
    <t>S1FJFRWPBPFF</t>
  </si>
  <si>
    <t>BN5206QYXFPD</t>
  </si>
  <si>
    <t>IR406YEBC7</t>
  </si>
  <si>
    <t>ST330SNUIU</t>
  </si>
  <si>
    <t>JP6831ICCC</t>
  </si>
  <si>
    <t>VE726EZB9C</t>
  </si>
  <si>
    <t>NB392FRTL1</t>
  </si>
  <si>
    <t>SL890GA2S4</t>
  </si>
  <si>
    <t>WB06799LAO</t>
  </si>
  <si>
    <t>OP0755V3F1</t>
  </si>
  <si>
    <t>TL020SFM54</t>
  </si>
  <si>
    <t>WQ570C5Z96</t>
  </si>
  <si>
    <t>FN952P189A</t>
  </si>
  <si>
    <t>EP903FNUAN</t>
  </si>
  <si>
    <t>QU022EPES1</t>
  </si>
  <si>
    <t>KV0902IM4F</t>
  </si>
  <si>
    <t>XN247V7OFI</t>
  </si>
  <si>
    <t>QU9942G06C</t>
  </si>
  <si>
    <t>LR229FO0P3</t>
  </si>
  <si>
    <t>NF287QZGGJ</t>
  </si>
  <si>
    <t>RY896IE5BS</t>
  </si>
  <si>
    <t>HE78932M89</t>
  </si>
  <si>
    <t>credit</t>
  </si>
  <si>
    <t>cash</t>
  </si>
  <si>
    <t>LN-ND2KDKYRL6H9</t>
  </si>
  <si>
    <t>LN-DO7J4NW0RY0H</t>
  </si>
  <si>
    <t>LN-TEIYHHQG9SAQ</t>
  </si>
  <si>
    <t>LN-Y7VXFIVVQ851</t>
  </si>
  <si>
    <t>LN-Z8PNSQZX9LJU</t>
  </si>
  <si>
    <t>LN-G0LQ04MLR4IF</t>
  </si>
  <si>
    <t>LN-VO2F1PS4J29V</t>
  </si>
  <si>
    <t>LN-MVN8QF95CGOT</t>
  </si>
  <si>
    <t>LN-LXA43UA65KDD</t>
  </si>
  <si>
    <t>LN-XZF9IG6C66P2</t>
  </si>
  <si>
    <t>LN-6VKDLRPUYU6I</t>
  </si>
  <si>
    <t>351924730691272</t>
  </si>
  <si>
    <t>PurchaseDate</t>
  </si>
  <si>
    <t>SMARTA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</si>
</sst>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8" formatCode="dd\-mmm\-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quotePrefix="1"/>
    <xf numFmtId="168" fontId="0" fillId="0" borderId="0" xfId="0" quotePrefix="1" applyNumberFormat="1"/>
    <xf numFmtId="168" fontId="1" fillId="0" borderId="1" xfId="0" applyNumberFormat="1" applyFont="1" applyBorder="1" applyAlignment="1">
      <alignment horizontal="center" vertical="top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"/>
  <sheetViews>
    <sheetView tabSelected="1" workbookViewId="0">
      <selection activeCell="I14" sqref="I14"/>
    </sheetView>
  </sheetViews>
  <sheetFormatPr baseColWidth="10" defaultColWidth="8.83203125" defaultRowHeight="15" x14ac:dyDescent="0.2"/>
  <cols>
    <col min="1" max="1" width="20.5" customWidth="1"/>
    <col min="2" max="2" width="22" customWidth="1"/>
    <col min="3" max="3" width="21.83203125" customWidth="1"/>
    <col min="4" max="4" width="24.33203125" customWidth="1"/>
    <col min="5" max="5" width="17.1640625" customWidth="1"/>
    <col min="6" max="6" width="24.83203125" customWidth="1"/>
    <col min="7" max="7" width="21.1640625" customWidth="1"/>
    <col min="8" max="8" width="32.83203125" customWidth="1"/>
    <col min="9" max="9" width="32.83203125" style="6" customWidth="1"/>
    <col min="10" max="10" width="14.1640625" bestFit="1" customWidth="1"/>
    <col min="11" max="11" width="23.83203125" customWidth="1"/>
    <col min="12" max="12" width="28.6640625" customWidth="1"/>
    <col min="13" max="13" width="14.5" bestFit="1" customWidth="1"/>
    <col min="14" max="14" width="15.6640625" customWidth="1"/>
    <col min="15" max="15" width="15.83203125" customWidth="1"/>
    <col min="16" max="16" width="12" customWidth="1"/>
    <col min="17" max="17" width="10.83203125" bestFit="1" customWidth="1"/>
    <col min="18" max="18" width="11.6640625" bestFit="1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 t="s">
        <v>172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t="s">
        <v>17</v>
      </c>
      <c r="B2" t="s">
        <v>37</v>
      </c>
      <c r="E2" t="s">
        <v>79</v>
      </c>
      <c r="F2" s="2">
        <v>24865</v>
      </c>
      <c r="G2" t="s">
        <v>173</v>
      </c>
      <c r="H2" s="3" t="s">
        <v>171</v>
      </c>
      <c r="I2" s="4">
        <v>45658</v>
      </c>
      <c r="J2" t="s">
        <v>118</v>
      </c>
      <c r="K2">
        <v>23888.42</v>
      </c>
      <c r="L2" t="s">
        <v>138</v>
      </c>
      <c r="M2" t="s">
        <v>158</v>
      </c>
      <c r="N2" t="s">
        <v>160</v>
      </c>
      <c r="O2">
        <v>12</v>
      </c>
      <c r="P2">
        <v>79220.73</v>
      </c>
      <c r="Q2">
        <v>0</v>
      </c>
      <c r="R2">
        <f>ROUNDUP((0.03*K2),2)</f>
        <v>716.66</v>
      </c>
    </row>
    <row r="3" spans="1:18" x14ac:dyDescent="0.2">
      <c r="A3" t="s">
        <v>18</v>
      </c>
      <c r="B3" t="s">
        <v>38</v>
      </c>
      <c r="E3" t="s">
        <v>80</v>
      </c>
      <c r="F3" s="2">
        <v>33083</v>
      </c>
      <c r="G3" t="s">
        <v>173</v>
      </c>
      <c r="H3" t="s">
        <v>99</v>
      </c>
      <c r="I3" s="4">
        <v>45659</v>
      </c>
      <c r="J3" t="s">
        <v>119</v>
      </c>
      <c r="K3">
        <v>96309.38</v>
      </c>
      <c r="L3" t="s">
        <v>139</v>
      </c>
      <c r="M3" t="s">
        <v>159</v>
      </c>
      <c r="N3" t="s">
        <v>161</v>
      </c>
      <c r="O3">
        <v>12</v>
      </c>
      <c r="P3">
        <v>112147.94</v>
      </c>
      <c r="Q3">
        <v>9.5</v>
      </c>
      <c r="R3">
        <f t="shared" ref="R3:R21" si="0">ROUNDUP((0.03*K3),2)</f>
        <v>2889.2900000000004</v>
      </c>
    </row>
    <row r="4" spans="1:18" x14ac:dyDescent="0.2">
      <c r="A4" t="s">
        <v>19</v>
      </c>
      <c r="B4" t="s">
        <v>39</v>
      </c>
      <c r="E4" t="s">
        <v>81</v>
      </c>
      <c r="F4" s="2">
        <v>32503</v>
      </c>
      <c r="G4" t="s">
        <v>173</v>
      </c>
      <c r="H4" t="s">
        <v>100</v>
      </c>
      <c r="I4" s="4">
        <v>45660</v>
      </c>
      <c r="J4" t="s">
        <v>120</v>
      </c>
      <c r="K4">
        <v>106025.66</v>
      </c>
      <c r="L4" t="s">
        <v>140</v>
      </c>
      <c r="M4" t="s">
        <v>158</v>
      </c>
      <c r="O4">
        <v>12</v>
      </c>
      <c r="P4">
        <v>37419.06</v>
      </c>
      <c r="Q4">
        <v>12.5</v>
      </c>
      <c r="R4">
        <f t="shared" si="0"/>
        <v>3180.7700000000004</v>
      </c>
    </row>
    <row r="5" spans="1:18" x14ac:dyDescent="0.2">
      <c r="A5" t="s">
        <v>20</v>
      </c>
      <c r="B5" t="s">
        <v>40</v>
      </c>
      <c r="E5" t="s">
        <v>82</v>
      </c>
      <c r="F5" s="2">
        <v>24775</v>
      </c>
      <c r="G5" t="s">
        <v>173</v>
      </c>
      <c r="H5" t="s">
        <v>101</v>
      </c>
      <c r="I5" s="4">
        <v>45661</v>
      </c>
      <c r="J5" t="s">
        <v>121</v>
      </c>
      <c r="K5">
        <v>68463.759999999995</v>
      </c>
      <c r="L5" t="s">
        <v>141</v>
      </c>
      <c r="M5" t="s">
        <v>159</v>
      </c>
      <c r="N5" t="s">
        <v>162</v>
      </c>
      <c r="O5">
        <v>12</v>
      </c>
      <c r="P5">
        <v>72089.399999999994</v>
      </c>
      <c r="Q5">
        <v>9.5</v>
      </c>
      <c r="R5">
        <f t="shared" si="0"/>
        <v>2053.92</v>
      </c>
    </row>
    <row r="6" spans="1:18" x14ac:dyDescent="0.2">
      <c r="A6" t="s">
        <v>21</v>
      </c>
      <c r="B6" t="s">
        <v>41</v>
      </c>
      <c r="C6" t="s">
        <v>56</v>
      </c>
      <c r="D6" t="s">
        <v>67</v>
      </c>
      <c r="E6" t="s">
        <v>83</v>
      </c>
      <c r="F6" s="2">
        <v>34617</v>
      </c>
      <c r="G6" t="s">
        <v>173</v>
      </c>
      <c r="H6" t="s">
        <v>102</v>
      </c>
      <c r="I6" s="4">
        <v>45662</v>
      </c>
      <c r="J6" t="s">
        <v>122</v>
      </c>
      <c r="K6">
        <v>106098.15</v>
      </c>
      <c r="L6" t="s">
        <v>142</v>
      </c>
      <c r="M6" t="s">
        <v>158</v>
      </c>
      <c r="O6">
        <v>12</v>
      </c>
      <c r="P6">
        <v>25710.92</v>
      </c>
      <c r="Q6">
        <v>0</v>
      </c>
      <c r="R6">
        <f t="shared" si="0"/>
        <v>3182.9500000000003</v>
      </c>
    </row>
    <row r="7" spans="1:18" x14ac:dyDescent="0.2">
      <c r="A7" t="s">
        <v>22</v>
      </c>
      <c r="B7" t="s">
        <v>42</v>
      </c>
      <c r="C7" t="s">
        <v>57</v>
      </c>
      <c r="D7" t="s">
        <v>68</v>
      </c>
      <c r="E7" t="s">
        <v>84</v>
      </c>
      <c r="F7" s="2">
        <v>35869</v>
      </c>
      <c r="G7" t="s">
        <v>173</v>
      </c>
      <c r="H7" t="s">
        <v>103</v>
      </c>
      <c r="I7" s="4">
        <v>45663</v>
      </c>
      <c r="J7" t="s">
        <v>123</v>
      </c>
      <c r="K7">
        <v>12404.25</v>
      </c>
      <c r="L7" t="s">
        <v>143</v>
      </c>
      <c r="M7" t="s">
        <v>159</v>
      </c>
      <c r="N7" t="s">
        <v>163</v>
      </c>
      <c r="O7">
        <v>12</v>
      </c>
      <c r="P7">
        <v>0</v>
      </c>
      <c r="Q7">
        <v>15</v>
      </c>
      <c r="R7">
        <f t="shared" si="0"/>
        <v>372.13</v>
      </c>
    </row>
    <row r="8" spans="1:18" x14ac:dyDescent="0.2">
      <c r="A8" t="s">
        <v>23</v>
      </c>
      <c r="B8" t="s">
        <v>43</v>
      </c>
      <c r="E8" t="s">
        <v>85</v>
      </c>
      <c r="F8" s="2">
        <v>29666</v>
      </c>
      <c r="G8" t="s">
        <v>173</v>
      </c>
      <c r="H8" t="s">
        <v>104</v>
      </c>
      <c r="I8" s="4">
        <v>45664</v>
      </c>
      <c r="J8" t="s">
        <v>124</v>
      </c>
      <c r="K8">
        <v>87375.76</v>
      </c>
      <c r="L8" t="s">
        <v>144</v>
      </c>
      <c r="M8" t="s">
        <v>158</v>
      </c>
      <c r="O8">
        <v>12</v>
      </c>
      <c r="P8">
        <v>0</v>
      </c>
      <c r="Q8">
        <v>9.5</v>
      </c>
      <c r="R8">
        <f t="shared" si="0"/>
        <v>2621.2800000000002</v>
      </c>
    </row>
    <row r="9" spans="1:18" x14ac:dyDescent="0.2">
      <c r="A9" t="s">
        <v>24</v>
      </c>
      <c r="B9" t="s">
        <v>44</v>
      </c>
      <c r="C9" t="s">
        <v>53</v>
      </c>
      <c r="D9" t="s">
        <v>69</v>
      </c>
      <c r="E9" t="s">
        <v>86</v>
      </c>
      <c r="F9" s="2">
        <v>25904</v>
      </c>
      <c r="G9" t="s">
        <v>173</v>
      </c>
      <c r="H9" t="s">
        <v>105</v>
      </c>
      <c r="I9" s="4">
        <v>45665</v>
      </c>
      <c r="J9" t="s">
        <v>125</v>
      </c>
      <c r="K9">
        <v>119435.85</v>
      </c>
      <c r="L9" t="s">
        <v>145</v>
      </c>
      <c r="M9" t="s">
        <v>159</v>
      </c>
      <c r="N9" t="s">
        <v>164</v>
      </c>
      <c r="O9">
        <v>12</v>
      </c>
      <c r="P9">
        <v>30192.799999999999</v>
      </c>
      <c r="Q9">
        <v>0</v>
      </c>
      <c r="R9">
        <f t="shared" si="0"/>
        <v>3583.0800000000004</v>
      </c>
    </row>
    <row r="10" spans="1:18" x14ac:dyDescent="0.2">
      <c r="A10" t="s">
        <v>25</v>
      </c>
      <c r="B10" t="s">
        <v>45</v>
      </c>
      <c r="C10" t="s">
        <v>58</v>
      </c>
      <c r="D10" t="s">
        <v>70</v>
      </c>
      <c r="E10" t="s">
        <v>87</v>
      </c>
      <c r="F10" s="2">
        <v>28907</v>
      </c>
      <c r="G10" t="s">
        <v>173</v>
      </c>
      <c r="H10" t="s">
        <v>106</v>
      </c>
      <c r="I10" s="4">
        <v>45666</v>
      </c>
      <c r="J10" t="s">
        <v>126</v>
      </c>
      <c r="K10">
        <v>34163.85</v>
      </c>
      <c r="L10" t="s">
        <v>146</v>
      </c>
      <c r="M10" t="s">
        <v>158</v>
      </c>
      <c r="N10" t="s">
        <v>165</v>
      </c>
      <c r="O10">
        <v>12</v>
      </c>
      <c r="P10">
        <v>0</v>
      </c>
      <c r="Q10">
        <v>18</v>
      </c>
      <c r="R10">
        <f t="shared" si="0"/>
        <v>1024.92</v>
      </c>
    </row>
    <row r="11" spans="1:18" x14ac:dyDescent="0.2">
      <c r="A11" t="s">
        <v>26</v>
      </c>
      <c r="B11" t="s">
        <v>46</v>
      </c>
      <c r="E11" t="s">
        <v>88</v>
      </c>
      <c r="F11" s="2">
        <v>32845</v>
      </c>
      <c r="G11" t="s">
        <v>173</v>
      </c>
      <c r="H11" t="s">
        <v>107</v>
      </c>
      <c r="I11" s="4">
        <v>45667</v>
      </c>
      <c r="J11" t="s">
        <v>127</v>
      </c>
      <c r="K11">
        <v>144598.67000000001</v>
      </c>
      <c r="L11" t="s">
        <v>147</v>
      </c>
      <c r="M11" t="s">
        <v>159</v>
      </c>
      <c r="O11">
        <v>12</v>
      </c>
      <c r="P11">
        <v>0</v>
      </c>
      <c r="Q11">
        <v>9.5</v>
      </c>
      <c r="R11">
        <f t="shared" si="0"/>
        <v>4337.97</v>
      </c>
    </row>
    <row r="12" spans="1:18" x14ac:dyDescent="0.2">
      <c r="A12" t="s">
        <v>27</v>
      </c>
      <c r="B12" t="s">
        <v>47</v>
      </c>
      <c r="E12" t="s">
        <v>89</v>
      </c>
      <c r="F12" s="2">
        <v>30491</v>
      </c>
      <c r="G12" t="s">
        <v>173</v>
      </c>
      <c r="H12" t="s">
        <v>108</v>
      </c>
      <c r="I12" s="4">
        <v>45668</v>
      </c>
      <c r="J12" t="s">
        <v>128</v>
      </c>
      <c r="K12">
        <v>21023.03</v>
      </c>
      <c r="L12" t="s">
        <v>148</v>
      </c>
      <c r="M12" t="s">
        <v>158</v>
      </c>
      <c r="O12">
        <v>12</v>
      </c>
      <c r="P12">
        <v>0</v>
      </c>
      <c r="Q12">
        <v>15</v>
      </c>
      <c r="R12">
        <f t="shared" si="0"/>
        <v>630.70000000000005</v>
      </c>
    </row>
    <row r="13" spans="1:18" x14ac:dyDescent="0.2">
      <c r="A13" t="s">
        <v>28</v>
      </c>
      <c r="B13" t="s">
        <v>48</v>
      </c>
      <c r="C13" t="s">
        <v>59</v>
      </c>
      <c r="D13" t="s">
        <v>71</v>
      </c>
      <c r="E13" t="s">
        <v>90</v>
      </c>
      <c r="F13" s="2">
        <v>25500</v>
      </c>
      <c r="G13" t="s">
        <v>173</v>
      </c>
      <c r="H13" t="s">
        <v>109</v>
      </c>
      <c r="I13" s="4">
        <v>45669</v>
      </c>
      <c r="J13" t="s">
        <v>129</v>
      </c>
      <c r="K13">
        <v>49997.55</v>
      </c>
      <c r="L13" t="s">
        <v>149</v>
      </c>
      <c r="M13" t="s">
        <v>159</v>
      </c>
      <c r="O13">
        <v>12</v>
      </c>
      <c r="P13">
        <v>7623.72</v>
      </c>
      <c r="Q13">
        <v>0</v>
      </c>
      <c r="R13">
        <f t="shared" si="0"/>
        <v>1499.93</v>
      </c>
    </row>
    <row r="14" spans="1:18" x14ac:dyDescent="0.2">
      <c r="A14" t="s">
        <v>29</v>
      </c>
      <c r="B14" t="s">
        <v>49</v>
      </c>
      <c r="C14" t="s">
        <v>60</v>
      </c>
      <c r="D14" t="s">
        <v>72</v>
      </c>
      <c r="E14" t="s">
        <v>91</v>
      </c>
      <c r="F14" s="2">
        <v>39093</v>
      </c>
      <c r="G14" t="s">
        <v>173</v>
      </c>
      <c r="H14" t="s">
        <v>110</v>
      </c>
      <c r="I14" s="4">
        <v>45670</v>
      </c>
      <c r="J14" t="s">
        <v>130</v>
      </c>
      <c r="K14">
        <v>138321.17000000001</v>
      </c>
      <c r="L14" t="s">
        <v>150</v>
      </c>
      <c r="M14" t="s">
        <v>158</v>
      </c>
      <c r="N14" t="s">
        <v>166</v>
      </c>
      <c r="O14">
        <v>12</v>
      </c>
      <c r="P14">
        <v>40017.839999999997</v>
      </c>
      <c r="Q14">
        <v>12.5</v>
      </c>
      <c r="R14">
        <f t="shared" si="0"/>
        <v>4149.6400000000003</v>
      </c>
    </row>
    <row r="15" spans="1:18" x14ac:dyDescent="0.2">
      <c r="A15" t="s">
        <v>30</v>
      </c>
      <c r="B15" t="s">
        <v>50</v>
      </c>
      <c r="C15" t="s">
        <v>61</v>
      </c>
      <c r="D15" t="s">
        <v>73</v>
      </c>
      <c r="E15" t="s">
        <v>92</v>
      </c>
      <c r="F15" s="2">
        <v>37606</v>
      </c>
      <c r="G15" t="s">
        <v>173</v>
      </c>
      <c r="H15" t="s">
        <v>111</v>
      </c>
      <c r="I15" s="4">
        <v>45671</v>
      </c>
      <c r="J15" t="s">
        <v>131</v>
      </c>
      <c r="K15">
        <v>56963.63</v>
      </c>
      <c r="L15" t="s">
        <v>151</v>
      </c>
      <c r="M15" t="s">
        <v>159</v>
      </c>
      <c r="O15">
        <v>12</v>
      </c>
      <c r="P15">
        <v>0</v>
      </c>
      <c r="Q15">
        <v>15</v>
      </c>
      <c r="R15">
        <f t="shared" si="0"/>
        <v>1708.91</v>
      </c>
    </row>
    <row r="16" spans="1:18" x14ac:dyDescent="0.2">
      <c r="A16" t="s">
        <v>31</v>
      </c>
      <c r="B16" t="s">
        <v>51</v>
      </c>
      <c r="C16" t="s">
        <v>62</v>
      </c>
      <c r="D16" t="s">
        <v>74</v>
      </c>
      <c r="E16" t="s">
        <v>93</v>
      </c>
      <c r="F16" s="2">
        <v>33790</v>
      </c>
      <c r="G16" t="s">
        <v>173</v>
      </c>
      <c r="H16" t="s">
        <v>112</v>
      </c>
      <c r="I16" s="4">
        <v>45672</v>
      </c>
      <c r="J16" t="s">
        <v>132</v>
      </c>
      <c r="K16">
        <v>5830.69</v>
      </c>
      <c r="L16" t="s">
        <v>152</v>
      </c>
      <c r="M16" t="s">
        <v>158</v>
      </c>
      <c r="O16">
        <v>12</v>
      </c>
      <c r="P16">
        <v>0</v>
      </c>
      <c r="Q16">
        <v>0</v>
      </c>
      <c r="R16">
        <f t="shared" si="0"/>
        <v>174.92999999999998</v>
      </c>
    </row>
    <row r="17" spans="1:18" x14ac:dyDescent="0.2">
      <c r="A17" t="s">
        <v>32</v>
      </c>
      <c r="B17" t="s">
        <v>48</v>
      </c>
      <c r="C17" t="s">
        <v>63</v>
      </c>
      <c r="D17" t="s">
        <v>75</v>
      </c>
      <c r="E17" t="s">
        <v>94</v>
      </c>
      <c r="F17" s="2">
        <v>37658</v>
      </c>
      <c r="G17" t="s">
        <v>173</v>
      </c>
      <c r="H17" t="s">
        <v>113</v>
      </c>
      <c r="I17" s="4">
        <v>45673</v>
      </c>
      <c r="J17" t="s">
        <v>133</v>
      </c>
      <c r="K17">
        <v>40922.639999999999</v>
      </c>
      <c r="L17" t="s">
        <v>153</v>
      </c>
      <c r="M17" t="s">
        <v>159</v>
      </c>
      <c r="N17" t="s">
        <v>167</v>
      </c>
      <c r="O17">
        <v>12</v>
      </c>
      <c r="P17">
        <v>0</v>
      </c>
      <c r="Q17">
        <v>15</v>
      </c>
      <c r="R17">
        <f t="shared" si="0"/>
        <v>1227.68</v>
      </c>
    </row>
    <row r="18" spans="1:18" x14ac:dyDescent="0.2">
      <c r="A18" t="s">
        <v>33</v>
      </c>
      <c r="B18" t="s">
        <v>52</v>
      </c>
      <c r="C18" t="s">
        <v>64</v>
      </c>
      <c r="D18" t="s">
        <v>76</v>
      </c>
      <c r="E18" t="s">
        <v>95</v>
      </c>
      <c r="F18" s="2">
        <v>29652</v>
      </c>
      <c r="G18" t="s">
        <v>173</v>
      </c>
      <c r="H18" t="s">
        <v>114</v>
      </c>
      <c r="I18" s="4">
        <v>45674</v>
      </c>
      <c r="J18" t="s">
        <v>134</v>
      </c>
      <c r="K18">
        <v>51548.39</v>
      </c>
      <c r="L18" t="s">
        <v>154</v>
      </c>
      <c r="M18" t="s">
        <v>158</v>
      </c>
      <c r="N18" t="s">
        <v>168</v>
      </c>
      <c r="O18">
        <v>12</v>
      </c>
      <c r="P18">
        <v>16427.87</v>
      </c>
      <c r="Q18">
        <v>15</v>
      </c>
      <c r="R18">
        <f t="shared" si="0"/>
        <v>1546.46</v>
      </c>
    </row>
    <row r="19" spans="1:18" x14ac:dyDescent="0.2">
      <c r="A19" t="s">
        <v>34</v>
      </c>
      <c r="B19" t="s">
        <v>53</v>
      </c>
      <c r="E19" t="s">
        <v>96</v>
      </c>
      <c r="F19" s="2">
        <v>39062</v>
      </c>
      <c r="G19" t="s">
        <v>173</v>
      </c>
      <c r="H19" t="s">
        <v>115</v>
      </c>
      <c r="I19" s="4">
        <v>45675</v>
      </c>
      <c r="J19" t="s">
        <v>135</v>
      </c>
      <c r="K19">
        <v>15164.65</v>
      </c>
      <c r="L19" t="s">
        <v>155</v>
      </c>
      <c r="M19" t="s">
        <v>159</v>
      </c>
      <c r="N19" t="s">
        <v>169</v>
      </c>
      <c r="O19">
        <v>12</v>
      </c>
      <c r="P19">
        <v>11061.09</v>
      </c>
      <c r="Q19">
        <v>15</v>
      </c>
      <c r="R19">
        <f t="shared" si="0"/>
        <v>454.94</v>
      </c>
    </row>
    <row r="20" spans="1:18" x14ac:dyDescent="0.2">
      <c r="A20" t="s">
        <v>35</v>
      </c>
      <c r="B20" t="s">
        <v>54</v>
      </c>
      <c r="C20" t="s">
        <v>65</v>
      </c>
      <c r="D20" t="s">
        <v>77</v>
      </c>
      <c r="E20" t="s">
        <v>97</v>
      </c>
      <c r="F20" s="2">
        <v>29803</v>
      </c>
      <c r="G20" t="s">
        <v>173</v>
      </c>
      <c r="H20" t="s">
        <v>116</v>
      </c>
      <c r="I20" s="4">
        <v>45676</v>
      </c>
      <c r="J20" t="s">
        <v>136</v>
      </c>
      <c r="K20">
        <v>21636.77</v>
      </c>
      <c r="L20" t="s">
        <v>156</v>
      </c>
      <c r="M20" t="s">
        <v>158</v>
      </c>
      <c r="O20">
        <v>12</v>
      </c>
      <c r="P20">
        <v>0</v>
      </c>
      <c r="Q20">
        <v>18</v>
      </c>
      <c r="R20">
        <f t="shared" si="0"/>
        <v>649.11</v>
      </c>
    </row>
    <row r="21" spans="1:18" x14ac:dyDescent="0.2">
      <c r="A21" t="s">
        <v>36</v>
      </c>
      <c r="B21" t="s">
        <v>55</v>
      </c>
      <c r="C21" t="s">
        <v>66</v>
      </c>
      <c r="D21" t="s">
        <v>78</v>
      </c>
      <c r="E21" t="s">
        <v>98</v>
      </c>
      <c r="F21" s="2">
        <v>33880</v>
      </c>
      <c r="G21" t="s">
        <v>173</v>
      </c>
      <c r="H21" t="s">
        <v>117</v>
      </c>
      <c r="I21" s="4">
        <v>45677</v>
      </c>
      <c r="J21" t="s">
        <v>137</v>
      </c>
      <c r="K21">
        <v>12955.86</v>
      </c>
      <c r="L21" t="s">
        <v>157</v>
      </c>
      <c r="M21" t="s">
        <v>159</v>
      </c>
      <c r="N21" t="s">
        <v>170</v>
      </c>
      <c r="O21">
        <v>12</v>
      </c>
      <c r="P21">
        <v>108207.17</v>
      </c>
      <c r="Q21">
        <v>15</v>
      </c>
      <c r="R21">
        <f t="shared" si="0"/>
        <v>388.68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mac</cp:lastModifiedBy>
  <dcterms:created xsi:type="dcterms:W3CDTF">2025-11-26T11:25:39Z</dcterms:created>
  <dcterms:modified xsi:type="dcterms:W3CDTF">2025-12-03T19:34:48Z</dcterms:modified>
</cp:coreProperties>
</file>